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taset" sheetId="2" state="visible" r:id="rId4"/>
    <sheet name="Refs_to_pul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P10" authorId="0">
      <text>
        <r>
          <rPr>
            <sz val="10"/>
            <rFont val="Arial"/>
            <family val="2"/>
          </rPr>
          <t xml:space="preserve">Fill: batch volume x coacervate volume fraction (phi_C).</t>
        </r>
      </text>
    </comment>
  </commentList>
</comments>
</file>

<file path=xl/sharedStrings.xml><?xml version="1.0" encoding="utf-8"?>
<sst xmlns="http://schemas.openxmlformats.org/spreadsheetml/2006/main" count="221" uniqueCount="170">
  <si>
    <t xml:space="preserve">Coacervate and condensate preparation scale: comparison dataset (DRAFT)</t>
  </si>
  <si>
    <t xml:space="preserve">Purpose: compare the working scale and the lifetime of the liquid dispersed state across coacervate/condensate uses, to position the CAP-held coacervate emulsions (this work).</t>
  </si>
  <si>
    <t xml:space="preserve">How to use</t>
  </si>
  <si>
    <t xml:space="preserve">Yellow cells are estimates or placeholders that must be replaced with values taken from the cited papers (Methods / SI) or from your own records.</t>
  </si>
  <si>
    <t xml:space="preserve">White cells marked 'Verified' in the Evidence column were checked against the source listed in that row.</t>
  </si>
  <si>
    <t xml:space="preserve">Grey cells are formulas (log10 values used by the chart). Do not type into them.</t>
  </si>
  <si>
    <t xml:space="preserve">Sheet 'Refs_to_pull' lists the papers to open and exactly which number to extract; record it in the 'Value found' column, then copy it into 'Dataset'.</t>
  </si>
  <si>
    <t xml:space="preserve">Definitions</t>
  </si>
  <si>
    <t xml:space="preserve">Batch volume (L): total volume of the phase-separated system prepared in one batch (or processed per run). For continuous processes, give volume processed per run and note the throughput.</t>
  </si>
  <si>
    <t xml:space="preserve">Coacervate-phase volume (L): batch volume x coacervate volume fraction. Report this for this work as well; referees will compare dispersed-phase volume, not only total volume.</t>
  </si>
  <si>
    <t xml:space="preserve">Liquid-state persistence (s): how long the dispersed coacervate remains a liquid dispersion with its specified size/topology before it coarsens, settles, deposits, or is solidified.</t>
  </si>
  <si>
    <t xml:space="preserve">State as used: Transient liquid = used while coarsening/settling; Formed in use = coacervate only forms at the point of use and is consumed; Solidified = coacervate is gelled/crosslinked into a solid; Held liquid = liquid dispersion kept on purpose as the product.</t>
  </si>
  <si>
    <t xml:space="preserve">Evidence levels</t>
  </si>
  <si>
    <t xml:space="preserve">Verified = statement checked in the listed source during drafting.</t>
  </si>
  <si>
    <t xml:space="preserve">Typical practice (verify) = order-of-magnitude estimate from common laboratory/industrial practice; replace with per-paper values before any figure is submitted.</t>
  </si>
  <si>
    <t xml:space="preserve">Comparing like with like (for the manuscript)</t>
  </si>
  <si>
    <t xml:space="preserve">1. Total vs dispersed-phase volume: a 100 L emulsion at phi_C = 0.05 contains 5 L of coacervate. State both.</t>
  </si>
  <si>
    <t xml:space="preserve">2. Batch vs throughput: industrial microencapsulation and shampoo manufacture are tonne-scale, but the coacervate there is either formed at the point of use or solidified. The distinction to claim is a HELD LIQUID coacervate dispersion at scale, not coacervation at scale.</t>
  </si>
  <si>
    <t xml:space="preserve">3. The 100 L entry for this work is a placeholder from the conversation; the current manuscript text says 5-10 L. Use the batch volume actually made and characterized.</t>
  </si>
  <si>
    <t xml:space="preserve">ID</t>
  </si>
  <si>
    <t xml:space="preserve">Category</t>
  </si>
  <si>
    <t xml:space="preserve">Representative systems / examples</t>
  </si>
  <si>
    <t xml:space="preserve">Phase separation type</t>
  </si>
  <si>
    <t xml:space="preserve">State as used</t>
  </si>
  <si>
    <t xml:space="preserve">Stabilizer of the coacervate dispersion</t>
  </si>
  <si>
    <t xml:space="preserve">Is the liquid dispersion the product?</t>
  </si>
  <si>
    <t xml:space="preserve">Batch volume low (L)</t>
  </si>
  <si>
    <t xml:space="preserve">Batch volume high (L)</t>
  </si>
  <si>
    <t xml:space="preserve">log10 low</t>
  </si>
  <si>
    <t xml:space="preserve">log10 high</t>
  </si>
  <si>
    <t xml:space="preserve">Liquid-state persistence low (s)</t>
  </si>
  <si>
    <t xml:space="preserve">Liquid-state persistence high (s)</t>
  </si>
  <si>
    <t xml:space="preserve">log10 persist low</t>
  </si>
  <si>
    <t xml:space="preserve">log10 persist high</t>
  </si>
  <si>
    <t xml:space="preserve">Coacervate-phase volume (L)</t>
  </si>
  <si>
    <t xml:space="preserve">Evidence</t>
  </si>
  <si>
    <t xml:space="preserve">Source / note</t>
  </si>
  <si>
    <t xml:space="preserve">Key references to pull exact values</t>
  </si>
  <si>
    <t xml:space="preserve">P1</t>
  </si>
  <si>
    <t xml:space="preserve">Protein condensates, in vitro reconstitution</t>
  </si>
  <si>
    <t xml:space="preserve">FUS, hnRNPA1, LAF-1, DDX4, TDP-43, HP1 droplets in buffer</t>
  </si>
  <si>
    <t xml:space="preserve">Associative (homotypic/heterotypic)</t>
  </si>
  <si>
    <t xml:space="preserve">Transient liquid</t>
  </si>
  <si>
    <t xml:space="preserve">None</t>
  </si>
  <si>
    <t xml:space="preserve">No</t>
  </si>
  <si>
    <t xml:space="preserve">Typical practice (verify)</t>
  </si>
  <si>
    <t xml:space="preserve">Droplet assays typically in tens of uL (well plates, imaging chambers); coarsen, wet surfaces and age within minutes to hours.</t>
  </si>
  <si>
    <t xml:space="preserve">Alberti et al., J Mol Biol 2018 (User's guide for phase separation assays); Alberti, Gladfelter, Mittag, Cell 2019</t>
  </si>
  <si>
    <t xml:space="preserve">P2</t>
  </si>
  <si>
    <t xml:space="preserve">Synthetic coacervate protocells and microreactors</t>
  </si>
  <si>
    <t xml:space="preserve">PDDA/ATP, pLys/ATP, peptide-nucleotide, amylose derivatives</t>
  </si>
  <si>
    <t xml:space="preserve">Associative (complex coacervation)</t>
  </si>
  <si>
    <t xml:space="preserve">Usually prepared at 0.1-few mL; droplets coarsen and sediment.</t>
  </si>
  <si>
    <t xml:space="preserve">Koga et al., Nat Chem 2011 (peptide-nucleotide microdroplets); Drobot et al., Nat Commun 2018</t>
  </si>
  <si>
    <t xml:space="preserve">P3</t>
  </si>
  <si>
    <t xml:space="preserve">Membranized / stabilized coacervates</t>
  </si>
  <si>
    <t xml:space="preserve">Fatty-acid, lipid, terpolymer, polymersome, nanoparticle or protein-cage coatings; CAP (Nat Chem)</t>
  </si>
  <si>
    <t xml:space="preserve">Associative</t>
  </si>
  <si>
    <t xml:space="preserve">Held liquid (small scale)</t>
  </si>
  <si>
    <t xml:space="preserve">Fatty acids, lipids, block/terpolymers, particles, protein cages, CAPs</t>
  </si>
  <si>
    <t xml:space="preserve">No (model systems)</t>
  </si>
  <si>
    <t xml:space="preserve">Stabilized for hours to weeks, but prepared at uL-mL scale for microscopy and assays.</t>
  </si>
  <si>
    <t xml:space="preserve">Tang et al., Nat Chem 2014; Mason/van Hest terpolymer coacervates; Acc Chem Res 2023 (membranized coacervates); Nat Commun 2025 (protein-cage condensates); your CAP Nat Chem paper</t>
  </si>
  <si>
    <t xml:space="preserve">P4</t>
  </si>
  <si>
    <t xml:space="preserve">Microfluidic coacervate droplets</t>
  </si>
  <si>
    <t xml:space="preserve">Monodisperse coacervate droplets in water or in liposomes</t>
  </si>
  <si>
    <t xml:space="preserve">Transient liquid (size-controlled)</t>
  </si>
  <si>
    <t xml:space="preserve">None or lipid shell</t>
  </si>
  <si>
    <t xml:space="preserve">Flow rates of uL/min; total volumes uL to mL.</t>
  </si>
  <si>
    <t xml:space="preserve">van Swaay et al., Angew Chem 2015; Deng et al., Angew Chem 2017</t>
  </si>
  <si>
    <t xml:space="preserve">B1</t>
  </si>
  <si>
    <t xml:space="preserve">ELP coacervation for protein purification (inverse transition cycling)</t>
  </si>
  <si>
    <t xml:space="preserve">Elastin-like polypeptide fusions, heat/salt-triggered coacervation, centrifugation</t>
  </si>
  <si>
    <t xml:space="preserve">LCST (simple coacervation)</t>
  </si>
  <si>
    <t xml:space="preserve">None (coacervate collected by centrifugation)</t>
  </si>
  <si>
    <t xml:space="preserve">Culture volumes up to fermenter scale; coacervate phase is transient and pelleted.</t>
  </si>
  <si>
    <t xml:space="preserve">ELP-intein high-cell-density fermentation (PMC2978133); scaled-up ELP production (J Biotechnol 2025)</t>
  </si>
  <si>
    <t xml:space="preserve">A1</t>
  </si>
  <si>
    <t xml:space="preserve">All-aqueous two-phase extraction (segregative, not coacervate)</t>
  </si>
  <si>
    <t xml:space="preserve">PEG/phosphate or PEG/citrate ATPS for antibodies; mixer-settlers, packed columns</t>
  </si>
  <si>
    <t xml:space="preserve">Segregative (ATPS)</t>
  </si>
  <si>
    <t xml:space="preserve">None (dispersion designed to settle)</t>
  </si>
  <si>
    <t xml:space="preserve">Pilot and continuous antibody extraction reported; relevant to the Fig. 6 separation claim (all-aqueous extraction at scale exists; held emulsion beds do not).</t>
  </si>
  <si>
    <t xml:space="preserve">Continuous ATPE of antibodies in a packed column (2012); multistage ATPE of a mAb, Biotechnol Prog 2015; Antibodies 2017 (ATPE as harvest/capture); J Chromatogr A 2023 (continuous ATPE platform)</t>
  </si>
  <si>
    <t xml:space="preserve">I1</t>
  </si>
  <si>
    <t xml:space="preserve">Conditioning shampoos and body washes (dilution deposition)</t>
  </si>
  <si>
    <t xml:space="preserve">Cationic guar or polyquaternium-10 with anionic surfactant (SLES)</t>
  </si>
  <si>
    <t xml:space="preserve">Associative (polymer-surfactant)</t>
  </si>
  <si>
    <t xml:space="preserve">Formed in use</t>
  </si>
  <si>
    <t xml:space="preserve">None: precursors soluble in the bottle; coacervate forms on dilution and deposits</t>
  </si>
  <si>
    <t xml:space="preserve">Mechanism verified; scale typical (verify)</t>
  </si>
  <si>
    <t xml:space="preserve">C&amp;T: soluble precursors (&lt;200 nm) in the bottle; the coacervate forms upon dilution during rinsing and deposits on hair (1-100 um). Batch volume is the manufacturing kettle, not coacervate volume.</t>
  </si>
  <si>
    <t xml:space="preserve">Cosmetics &amp; Toiletries, 'Complexation vs. coacervation in 2-in-1 shampoos'; J Cosmet Sci 62:179 (polymer-surfactant coacervate in shampoo)</t>
  </si>
  <si>
    <t xml:space="preserve">I2</t>
  </si>
  <si>
    <t xml:space="preserve">Complex-coacervation microencapsulation</t>
  </si>
  <si>
    <t xml:space="preserve">Gelatin/gum arabic walls around oil droplets: carbonless copy paper, flavours, fragrances, omega-3 oils</t>
  </si>
  <si>
    <t xml:space="preserve">Solidified</t>
  </si>
  <si>
    <t xml:space="preserve">Gelation + chemical crosslinking (e.g. glutaraldehyde); the emulsion held is oil-in-water</t>
  </si>
  <si>
    <t xml:space="preserve">No (solid capsule is the product)</t>
  </si>
  <si>
    <t xml:space="preserve">Chemistry verified; scale typical (verify)</t>
  </si>
  <si>
    <t xml:space="preserve">NIOSH review: shell of gelatin and gum arabic treated with glutaraldehyde; carbonless copy paper consumes thousands of tons of microcapsules annually. Liquid coacervate exists only until gelled/crosslinked.</t>
  </si>
  <si>
    <t xml:space="preserve">NIOSH Hazard Review: Carbonless Copy Paper (technology chapter); ACS AMI 2024 microcapsule review; mesostructured-reactor scale-up of GA/gelatin capsules (Chem Eng Res Des 2025)</t>
  </si>
  <si>
    <t xml:space="preserve">T1</t>
  </si>
  <si>
    <t xml:space="preserve">This work: CAP-held coacervate emulsions</t>
  </si>
  <si>
    <t xml:space="preserve">DTAB/PTS and e-PL/g-PGA emulsions; direct, inverse, nested, HIPE</t>
  </si>
  <si>
    <t xml:space="preserve">Held liquid</t>
  </si>
  <si>
    <t xml:space="preserve">CAP (PEG-B/M block copolymer)</t>
  </si>
  <si>
    <t xml:space="preserve">Yes</t>
  </si>
  <si>
    <t xml:space="preserve">Placeholder (confirm)</t>
  </si>
  <si>
    <t xml:space="preserve">100 L stated in conversation; manuscript text currently says 5-10 L. Persistence placeholder (weeks to months): replace with measured storage time at the stated scale.</t>
  </si>
  <si>
    <t xml:space="preserve">Your Fig. 5 data</t>
  </si>
  <si>
    <t xml:space="preserve">Yellow = estimate or placeholder to replace from the source. Grey = formula. Order-of-magnitude ranges only; not for submission until verified.</t>
  </si>
  <si>
    <t xml:space="preserve">Row ID</t>
  </si>
  <si>
    <t xml:space="preserve">Paper</t>
  </si>
  <si>
    <t xml:space="preserve">What to extract</t>
  </si>
  <si>
    <t xml:space="preserve">Where to look</t>
  </si>
  <si>
    <t xml:space="preserve">Value found</t>
  </si>
  <si>
    <t xml:space="preserve">Units</t>
  </si>
  <si>
    <t xml:space="preserve">Checked by</t>
  </si>
  <si>
    <t xml:space="preserve">Alberti et al., J Mol Biol 2018, A user's guide for phase separation assays with purified proteins</t>
  </si>
  <si>
    <t xml:space="preserve">Typical assay volume</t>
  </si>
  <si>
    <t xml:space="preserve">Methods / protocols</t>
  </si>
  <si>
    <t xml:space="preserve">uL</t>
  </si>
  <si>
    <t xml:space="preserve">Patel et al., Cell 2015 (FUS liquid-to-solid)</t>
  </si>
  <si>
    <t xml:space="preserve">Droplet assay volume; time to coarsening/aging</t>
  </si>
  <si>
    <t xml:space="preserve">Methods, SI</t>
  </si>
  <si>
    <t xml:space="preserve">uL; h</t>
  </si>
  <si>
    <t xml:space="preserve">Elbaum-Garfinkle et al., PNAS 2015 (LAF-1)</t>
  </si>
  <si>
    <t xml:space="preserve">Sample volume</t>
  </si>
  <si>
    <t xml:space="preserve">Methods</t>
  </si>
  <si>
    <t xml:space="preserve">Koga et al., Nat Chem 2011 (peptide-nucleotide microdroplets)</t>
  </si>
  <si>
    <t xml:space="preserve">Preparation volume</t>
  </si>
  <si>
    <t xml:space="preserve">mL</t>
  </si>
  <si>
    <t xml:space="preserve">Drobot et al., Nat Commun 2018 (compartmentalised RNA catalysis)</t>
  </si>
  <si>
    <t xml:space="preserve">Dora Tang et al., Nat Chem 2014 (fatty acid membranes on coacervates)</t>
  </si>
  <si>
    <t xml:space="preserve">Preparation volume; stability duration</t>
  </si>
  <si>
    <t xml:space="preserve">mL; days</t>
  </si>
  <si>
    <t xml:space="preserve">Mason, van Hest et al. (terpolymer-stabilized amylose coacervates)</t>
  </si>
  <si>
    <t xml:space="preserve">Nat Commun 2025, size-controlled condensates with interfacial protein cages</t>
  </si>
  <si>
    <t xml:space="preserve">Preparation volume; stability (24 h stated)</t>
  </si>
  <si>
    <t xml:space="preserve">Your CAP paper, Nat Chem</t>
  </si>
  <si>
    <t xml:space="preserve">Largest batch prepared; longest storage</t>
  </si>
  <si>
    <t xml:space="preserve">Your records</t>
  </si>
  <si>
    <t xml:space="preserve">van Swaay et al., Angew Chem 2015 (microfluidic coacervate droplets)</t>
  </si>
  <si>
    <t xml:space="preserve">Flow rate; total volume produced</t>
  </si>
  <si>
    <t xml:space="preserve">uL/min</t>
  </si>
  <si>
    <t xml:space="preserve">ELP-intein purification in high-cell-density fermentation (PMC2978133)</t>
  </si>
  <si>
    <t xml:space="preserve">Culture and lysate volume processed by ITC</t>
  </si>
  <si>
    <t xml:space="preserve">L</t>
  </si>
  <si>
    <t xml:space="preserve">Muendges et al., Biotechnol Prog 2015 (multistage ATPE of mAb)</t>
  </si>
  <si>
    <t xml:space="preserve">Volume processed per run; throughput</t>
  </si>
  <si>
    <t xml:space="preserve">L; L/h</t>
  </si>
  <si>
    <t xml:space="preserve">Continuous ATPE of antibodies using a packed column (2012)</t>
  </si>
  <si>
    <t xml:space="preserve">Column volume; flow rate</t>
  </si>
  <si>
    <t xml:space="preserve">Abstract, Methods</t>
  </si>
  <si>
    <t xml:space="preserve">L; mL/min</t>
  </si>
  <si>
    <t xml:space="preserve">J Cosmet Sci 62:179 (polymer-surfactant coacervate distribution in shampoo)</t>
  </si>
  <si>
    <t xml:space="preserve">Confirm coacervate forms on dilution; dilution ratio</t>
  </si>
  <si>
    <t xml:space="preserve">Results</t>
  </si>
  <si>
    <t xml:space="preserve">-</t>
  </si>
  <si>
    <t xml:space="preserve">Chem Eng Res Des 2025, GA/gelatin microcapsule scale-up in a mesostructured reactor</t>
  </si>
  <si>
    <t xml:space="preserve">Largest batch volume; crosslinker</t>
  </si>
  <si>
    <t xml:space="preserve">ACS AMI 2024 microcapsule review</t>
  </si>
  <si>
    <t xml:space="preserve">Industrial batch sizes for complex coacervation</t>
  </si>
  <si>
    <t xml:space="preserve">Scale-up section</t>
  </si>
  <si>
    <t xml:space="preserve">L or t</t>
  </si>
  <si>
    <t xml:space="preserve">This work</t>
  </si>
  <si>
    <t xml:space="preserve">Batch volume actually made and characterized; phi_C; storage time with unchanged size distribution</t>
  </si>
  <si>
    <t xml:space="preserve">Lab records, Fig. 5</t>
  </si>
  <si>
    <t xml:space="preserve">L; -; weeks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</si>
</sst>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E+0"/>
    <numFmt numFmtId="166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B3"/>
        <bgColor rgb="FFFFFF99"/>
      </patternFill>
    </fill>
    <fill>
      <patternFill patternType="solid">
        <fgColor rgb="FFEDEDED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B3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23.8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7</v>
      </c>
    </row>
    <row r="12" customFormat="false" ht="23.85" hidden="false" customHeight="false" outlineLevel="0" collapsed="false">
      <c r="A12" s="2" t="s">
        <v>8</v>
      </c>
    </row>
    <row r="13" customFormat="false" ht="23.85" hidden="false" customHeight="false" outlineLevel="0" collapsed="false">
      <c r="A13" s="2" t="s">
        <v>9</v>
      </c>
    </row>
    <row r="14" customFormat="false" ht="23.85" hidden="false" customHeight="false" outlineLevel="0" collapsed="false">
      <c r="A14" s="2" t="s">
        <v>10</v>
      </c>
    </row>
    <row r="15" customFormat="false" ht="23.8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3" t="s">
        <v>12</v>
      </c>
    </row>
    <row r="18" customFormat="false" ht="1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3" t="s">
        <v>15</v>
      </c>
    </row>
    <row r="22" customFormat="false" ht="15" hidden="false" customHeight="false" outlineLevel="0" collapsed="false">
      <c r="A22" s="2" t="s">
        <v>16</v>
      </c>
    </row>
    <row r="23" customFormat="false" ht="23.85" hidden="false" customHeight="false" outlineLevel="0" collapsed="false">
      <c r="A23" s="2" t="s">
        <v>17</v>
      </c>
    </row>
    <row r="24" customFormat="false" ht="23.85" hidden="false" customHeight="false" outlineLevel="0" collapsed="false">
      <c r="A24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36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30"/>
    <col collapsed="false" customWidth="true" hidden="false" outlineLevel="0" max="7" min="7" style="0" width="16"/>
    <col collapsed="false" customWidth="true" hidden="false" outlineLevel="0" max="9" min="8" style="0" width="12"/>
    <col collapsed="false" customWidth="true" hidden="false" outlineLevel="0" max="11" min="10" style="0" width="8"/>
    <col collapsed="false" customWidth="true" hidden="false" outlineLevel="0" max="13" min="12" style="0" width="14"/>
    <col collapsed="false" customWidth="true" hidden="false" outlineLevel="0" max="15" min="14" style="0" width="9"/>
    <col collapsed="false" customWidth="true" hidden="false" outlineLevel="0" max="16" min="16" style="0" width="14"/>
    <col collapsed="false" customWidth="true" hidden="false" outlineLevel="0" max="17" min="17" style="0" width="20"/>
    <col collapsed="false" customWidth="true" hidden="false" outlineLevel="0" max="19" min="18" style="0" width="60"/>
  </cols>
  <sheetData>
    <row r="1" customFormat="false" ht="42" hidden="false" customHeight="true" outlineLevel="0" collapsed="false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  <c r="L1" s="4" t="s">
        <v>30</v>
      </c>
      <c r="M1" s="4" t="s">
        <v>31</v>
      </c>
      <c r="N1" s="4" t="s">
        <v>32</v>
      </c>
      <c r="O1" s="4" t="s">
        <v>33</v>
      </c>
      <c r="P1" s="4" t="s">
        <v>34</v>
      </c>
      <c r="Q1" s="4" t="s">
        <v>35</v>
      </c>
      <c r="R1" s="4" t="s">
        <v>36</v>
      </c>
      <c r="S1" s="4" t="s">
        <v>37</v>
      </c>
    </row>
    <row r="2" customFormat="false" ht="23.85" hidden="false" customHeight="false" outlineLevel="0" collapsed="false">
      <c r="A2" s="5" t="s">
        <v>38</v>
      </c>
      <c r="B2" s="5" t="s">
        <v>39</v>
      </c>
      <c r="C2" s="5" t="s">
        <v>40</v>
      </c>
      <c r="D2" s="5" t="s">
        <v>41</v>
      </c>
      <c r="E2" s="5" t="s">
        <v>42</v>
      </c>
      <c r="F2" s="5" t="s">
        <v>43</v>
      </c>
      <c r="G2" s="5" t="s">
        <v>44</v>
      </c>
      <c r="H2" s="6" t="n">
        <v>1E-006</v>
      </c>
      <c r="I2" s="6" t="n">
        <v>0.001</v>
      </c>
      <c r="J2" s="7" t="n">
        <f aca="false">LOG10(H2)</f>
        <v>-6</v>
      </c>
      <c r="K2" s="7" t="n">
        <f aca="false">LOG10(I2)</f>
        <v>-3</v>
      </c>
      <c r="L2" s="6" t="n">
        <v>60</v>
      </c>
      <c r="M2" s="6" t="n">
        <v>86400</v>
      </c>
      <c r="N2" s="7" t="n">
        <f aca="false">LOG10(L2)</f>
        <v>1.77815125038364</v>
      </c>
      <c r="O2" s="7" t="n">
        <f aca="false">LOG10(M2)</f>
        <v>4.93651374247889</v>
      </c>
      <c r="P2" s="6"/>
      <c r="Q2" s="5" t="s">
        <v>45</v>
      </c>
      <c r="R2" s="5" t="s">
        <v>46</v>
      </c>
      <c r="S2" s="5" t="s">
        <v>47</v>
      </c>
    </row>
    <row r="3" customFormat="false" ht="23.85" hidden="false" customHeight="false" outlineLevel="0" collapsed="false">
      <c r="A3" s="5" t="s">
        <v>48</v>
      </c>
      <c r="B3" s="5" t="s">
        <v>49</v>
      </c>
      <c r="C3" s="5" t="s">
        <v>50</v>
      </c>
      <c r="D3" s="5" t="s">
        <v>51</v>
      </c>
      <c r="E3" s="5" t="s">
        <v>42</v>
      </c>
      <c r="F3" s="5" t="s">
        <v>43</v>
      </c>
      <c r="G3" s="5" t="s">
        <v>44</v>
      </c>
      <c r="H3" s="6" t="n">
        <v>1E-005</v>
      </c>
      <c r="I3" s="6" t="n">
        <v>0.01</v>
      </c>
      <c r="J3" s="7" t="n">
        <f aca="false">LOG10(H3)</f>
        <v>-5</v>
      </c>
      <c r="K3" s="7" t="n">
        <f aca="false">LOG10(I3)</f>
        <v>-2</v>
      </c>
      <c r="L3" s="6" t="n">
        <v>60</v>
      </c>
      <c r="M3" s="6" t="n">
        <v>86400</v>
      </c>
      <c r="N3" s="7" t="n">
        <f aca="false">LOG10(L3)</f>
        <v>1.77815125038364</v>
      </c>
      <c r="O3" s="7" t="n">
        <f aca="false">LOG10(M3)</f>
        <v>4.93651374247889</v>
      </c>
      <c r="P3" s="6"/>
      <c r="Q3" s="5" t="s">
        <v>45</v>
      </c>
      <c r="R3" s="5" t="s">
        <v>52</v>
      </c>
      <c r="S3" s="5" t="s">
        <v>53</v>
      </c>
    </row>
    <row r="4" customFormat="false" ht="35.05" hidden="false" customHeight="false" outlineLevel="0" collapsed="false">
      <c r="A4" s="5" t="s">
        <v>54</v>
      </c>
      <c r="B4" s="5" t="s">
        <v>55</v>
      </c>
      <c r="C4" s="5" t="s">
        <v>56</v>
      </c>
      <c r="D4" s="5" t="s">
        <v>57</v>
      </c>
      <c r="E4" s="5" t="s">
        <v>58</v>
      </c>
      <c r="F4" s="5" t="s">
        <v>59</v>
      </c>
      <c r="G4" s="5" t="s">
        <v>60</v>
      </c>
      <c r="H4" s="6" t="n">
        <v>1E-005</v>
      </c>
      <c r="I4" s="6" t="n">
        <v>0.01</v>
      </c>
      <c r="J4" s="7" t="n">
        <f aca="false">LOG10(H4)</f>
        <v>-5</v>
      </c>
      <c r="K4" s="7" t="n">
        <f aca="false">LOG10(I4)</f>
        <v>-2</v>
      </c>
      <c r="L4" s="6" t="n">
        <v>86400</v>
      </c>
      <c r="M4" s="6" t="n">
        <v>2600000</v>
      </c>
      <c r="N4" s="7" t="n">
        <f aca="false">LOG10(L4)</f>
        <v>4.93651374247889</v>
      </c>
      <c r="O4" s="7" t="n">
        <f aca="false">LOG10(M4)</f>
        <v>6.41497334797082</v>
      </c>
      <c r="P4" s="6"/>
      <c r="Q4" s="5" t="s">
        <v>45</v>
      </c>
      <c r="R4" s="5" t="s">
        <v>61</v>
      </c>
      <c r="S4" s="5" t="s">
        <v>62</v>
      </c>
    </row>
    <row r="5" customFormat="false" ht="23.85" hidden="false" customHeight="false" outlineLevel="0" collapsed="false">
      <c r="A5" s="5" t="s">
        <v>63</v>
      </c>
      <c r="B5" s="5" t="s">
        <v>64</v>
      </c>
      <c r="C5" s="5" t="s">
        <v>65</v>
      </c>
      <c r="D5" s="5" t="s">
        <v>57</v>
      </c>
      <c r="E5" s="5" t="s">
        <v>66</v>
      </c>
      <c r="F5" s="5" t="s">
        <v>67</v>
      </c>
      <c r="G5" s="5" t="s">
        <v>44</v>
      </c>
      <c r="H5" s="6" t="n">
        <v>1E-006</v>
      </c>
      <c r="I5" s="6" t="n">
        <v>0.001</v>
      </c>
      <c r="J5" s="7" t="n">
        <f aca="false">LOG10(H5)</f>
        <v>-6</v>
      </c>
      <c r="K5" s="7" t="n">
        <f aca="false">LOG10(I5)</f>
        <v>-3</v>
      </c>
      <c r="L5" s="6" t="n">
        <v>10</v>
      </c>
      <c r="M5" s="6" t="n">
        <v>3600</v>
      </c>
      <c r="N5" s="7" t="n">
        <f aca="false">LOG10(L5)</f>
        <v>1</v>
      </c>
      <c r="O5" s="7" t="n">
        <f aca="false">LOG10(M5)</f>
        <v>3.55630250076729</v>
      </c>
      <c r="P5" s="6"/>
      <c r="Q5" s="5" t="s">
        <v>45</v>
      </c>
      <c r="R5" s="5" t="s">
        <v>68</v>
      </c>
      <c r="S5" s="5" t="s">
        <v>69</v>
      </c>
    </row>
    <row r="6" customFormat="false" ht="35.05" hidden="false" customHeight="false" outlineLevel="0" collapsed="false">
      <c r="A6" s="5" t="s">
        <v>70</v>
      </c>
      <c r="B6" s="5" t="s">
        <v>71</v>
      </c>
      <c r="C6" s="5" t="s">
        <v>72</v>
      </c>
      <c r="D6" s="5" t="s">
        <v>73</v>
      </c>
      <c r="E6" s="5" t="s">
        <v>42</v>
      </c>
      <c r="F6" s="5" t="s">
        <v>74</v>
      </c>
      <c r="G6" s="5" t="s">
        <v>44</v>
      </c>
      <c r="H6" s="6" t="n">
        <v>0.001</v>
      </c>
      <c r="I6" s="6" t="n">
        <v>10</v>
      </c>
      <c r="J6" s="7" t="n">
        <f aca="false">LOG10(H6)</f>
        <v>-3</v>
      </c>
      <c r="K6" s="7" t="n">
        <f aca="false">LOG10(I6)</f>
        <v>1</v>
      </c>
      <c r="L6" s="6" t="n">
        <v>10</v>
      </c>
      <c r="M6" s="6" t="n">
        <v>600</v>
      </c>
      <c r="N6" s="7" t="n">
        <f aca="false">LOG10(L6)</f>
        <v>1</v>
      </c>
      <c r="O6" s="7" t="n">
        <f aca="false">LOG10(M6)</f>
        <v>2.77815125038364</v>
      </c>
      <c r="P6" s="6"/>
      <c r="Q6" s="5" t="s">
        <v>45</v>
      </c>
      <c r="R6" s="5" t="s">
        <v>75</v>
      </c>
      <c r="S6" s="5" t="s">
        <v>76</v>
      </c>
    </row>
    <row r="7" customFormat="false" ht="35.05" hidden="false" customHeight="false" outlineLevel="0" collapsed="false">
      <c r="A7" s="5" t="s">
        <v>77</v>
      </c>
      <c r="B7" s="5" t="s">
        <v>78</v>
      </c>
      <c r="C7" s="5" t="s">
        <v>79</v>
      </c>
      <c r="D7" s="5" t="s">
        <v>80</v>
      </c>
      <c r="E7" s="5" t="s">
        <v>42</v>
      </c>
      <c r="F7" s="5" t="s">
        <v>81</v>
      </c>
      <c r="G7" s="5" t="s">
        <v>44</v>
      </c>
      <c r="H7" s="6" t="n">
        <v>0.01</v>
      </c>
      <c r="I7" s="6" t="n">
        <v>100</v>
      </c>
      <c r="J7" s="7" t="n">
        <f aca="false">LOG10(H7)</f>
        <v>-2</v>
      </c>
      <c r="K7" s="7" t="n">
        <f aca="false">LOG10(I7)</f>
        <v>2</v>
      </c>
      <c r="L7" s="6" t="n">
        <v>10</v>
      </c>
      <c r="M7" s="6" t="n">
        <v>600</v>
      </c>
      <c r="N7" s="7" t="n">
        <f aca="false">LOG10(L7)</f>
        <v>1</v>
      </c>
      <c r="O7" s="7" t="n">
        <f aca="false">LOG10(M7)</f>
        <v>2.77815125038364</v>
      </c>
      <c r="P7" s="6"/>
      <c r="Q7" s="5" t="s">
        <v>45</v>
      </c>
      <c r="R7" s="5" t="s">
        <v>82</v>
      </c>
      <c r="S7" s="5" t="s">
        <v>83</v>
      </c>
    </row>
    <row r="8" customFormat="false" ht="35.05" hidden="false" customHeight="false" outlineLevel="0" collapsed="false">
      <c r="A8" s="5" t="s">
        <v>84</v>
      </c>
      <c r="B8" s="5" t="s">
        <v>85</v>
      </c>
      <c r="C8" s="5" t="s">
        <v>86</v>
      </c>
      <c r="D8" s="5" t="s">
        <v>87</v>
      </c>
      <c r="E8" s="5" t="s">
        <v>88</v>
      </c>
      <c r="F8" s="5" t="s">
        <v>89</v>
      </c>
      <c r="G8" s="5" t="s">
        <v>44</v>
      </c>
      <c r="H8" s="6" t="n">
        <v>1000</v>
      </c>
      <c r="I8" s="6" t="n">
        <v>30000</v>
      </c>
      <c r="J8" s="7" t="n">
        <f aca="false">LOG10(H8)</f>
        <v>3</v>
      </c>
      <c r="K8" s="7" t="n">
        <f aca="false">LOG10(I8)</f>
        <v>4.47712125471966</v>
      </c>
      <c r="L8" s="6" t="n">
        <v>1</v>
      </c>
      <c r="M8" s="6" t="n">
        <v>60</v>
      </c>
      <c r="N8" s="7" t="n">
        <f aca="false">LOG10(L8)</f>
        <v>0</v>
      </c>
      <c r="O8" s="7" t="n">
        <f aca="false">LOG10(M8)</f>
        <v>1.77815125038364</v>
      </c>
      <c r="P8" s="6"/>
      <c r="Q8" s="5" t="s">
        <v>90</v>
      </c>
      <c r="R8" s="5" t="s">
        <v>91</v>
      </c>
      <c r="S8" s="5" t="s">
        <v>92</v>
      </c>
    </row>
    <row r="9" customFormat="false" ht="46.25" hidden="false" customHeight="false" outlineLevel="0" collapsed="false">
      <c r="A9" s="5" t="s">
        <v>93</v>
      </c>
      <c r="B9" s="5" t="s">
        <v>94</v>
      </c>
      <c r="C9" s="5" t="s">
        <v>95</v>
      </c>
      <c r="D9" s="5" t="s">
        <v>51</v>
      </c>
      <c r="E9" s="5" t="s">
        <v>96</v>
      </c>
      <c r="F9" s="5" t="s">
        <v>97</v>
      </c>
      <c r="G9" s="5" t="s">
        <v>98</v>
      </c>
      <c r="H9" s="6" t="n">
        <v>100</v>
      </c>
      <c r="I9" s="6" t="n">
        <v>10000</v>
      </c>
      <c r="J9" s="7" t="n">
        <f aca="false">LOG10(H9)</f>
        <v>2</v>
      </c>
      <c r="K9" s="7" t="n">
        <f aca="false">LOG10(I9)</f>
        <v>4</v>
      </c>
      <c r="L9" s="6" t="n">
        <v>600</v>
      </c>
      <c r="M9" s="6" t="n">
        <v>3600</v>
      </c>
      <c r="N9" s="7" t="n">
        <f aca="false">LOG10(L9)</f>
        <v>2.77815125038364</v>
      </c>
      <c r="O9" s="7" t="n">
        <f aca="false">LOG10(M9)</f>
        <v>3.55630250076729</v>
      </c>
      <c r="P9" s="6"/>
      <c r="Q9" s="5" t="s">
        <v>99</v>
      </c>
      <c r="R9" s="5" t="s">
        <v>100</v>
      </c>
      <c r="S9" s="5" t="s">
        <v>101</v>
      </c>
    </row>
    <row r="10" customFormat="false" ht="35.05" hidden="false" customHeight="false" outlineLevel="0" collapsed="false">
      <c r="A10" s="5" t="s">
        <v>102</v>
      </c>
      <c r="B10" s="5" t="s">
        <v>103</v>
      </c>
      <c r="C10" s="5" t="s">
        <v>104</v>
      </c>
      <c r="D10" s="5" t="s">
        <v>57</v>
      </c>
      <c r="E10" s="5" t="s">
        <v>105</v>
      </c>
      <c r="F10" s="5" t="s">
        <v>106</v>
      </c>
      <c r="G10" s="5" t="s">
        <v>107</v>
      </c>
      <c r="H10" s="6" t="n">
        <v>100</v>
      </c>
      <c r="I10" s="6" t="n">
        <v>100</v>
      </c>
      <c r="J10" s="7" t="n">
        <f aca="false">LOG10(H10)</f>
        <v>2</v>
      </c>
      <c r="K10" s="7" t="n">
        <f aca="false">LOG10(I10)</f>
        <v>2</v>
      </c>
      <c r="L10" s="6" t="n">
        <v>1000000</v>
      </c>
      <c r="M10" s="6" t="n">
        <v>10000000</v>
      </c>
      <c r="N10" s="7" t="n">
        <f aca="false">LOG10(L10)</f>
        <v>6</v>
      </c>
      <c r="O10" s="7" t="n">
        <f aca="false">LOG10(M10)</f>
        <v>7</v>
      </c>
      <c r="P10" s="6"/>
      <c r="Q10" s="5" t="s">
        <v>108</v>
      </c>
      <c r="R10" s="5" t="s">
        <v>109</v>
      </c>
      <c r="S10" s="5" t="s">
        <v>110</v>
      </c>
    </row>
    <row r="12" customFormat="false" ht="15" hidden="false" customHeight="false" outlineLevel="0" collapsed="false">
      <c r="A12" s="8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0"/>
    <col collapsed="false" customWidth="true" hidden="false" outlineLevel="0" max="3" min="3" style="0" width="42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9" t="s">
        <v>112</v>
      </c>
      <c r="B1" s="9" t="s">
        <v>113</v>
      </c>
      <c r="C1" s="9" t="s">
        <v>114</v>
      </c>
      <c r="D1" s="9" t="s">
        <v>115</v>
      </c>
      <c r="E1" s="9" t="s">
        <v>116</v>
      </c>
      <c r="F1" s="9" t="s">
        <v>117</v>
      </c>
      <c r="G1" s="9" t="s">
        <v>118</v>
      </c>
    </row>
    <row r="2" customFormat="false" ht="23.85" hidden="false" customHeight="false" outlineLevel="0" collapsed="false">
      <c r="A2" s="5" t="s">
        <v>38</v>
      </c>
      <c r="B2" s="5" t="s">
        <v>119</v>
      </c>
      <c r="C2" s="5" t="s">
        <v>120</v>
      </c>
      <c r="D2" s="5" t="s">
        <v>121</v>
      </c>
      <c r="E2" s="10"/>
      <c r="F2" s="5" t="s">
        <v>122</v>
      </c>
      <c r="G2" s="5"/>
    </row>
    <row r="3" customFormat="false" ht="15" hidden="false" customHeight="false" outlineLevel="0" collapsed="false">
      <c r="A3" s="5" t="s">
        <v>38</v>
      </c>
      <c r="B3" s="5" t="s">
        <v>123</v>
      </c>
      <c r="C3" s="5" t="s">
        <v>124</v>
      </c>
      <c r="D3" s="5" t="s">
        <v>125</v>
      </c>
      <c r="E3" s="10"/>
      <c r="F3" s="5" t="s">
        <v>126</v>
      </c>
      <c r="G3" s="5"/>
    </row>
    <row r="4" customFormat="false" ht="15" hidden="false" customHeight="false" outlineLevel="0" collapsed="false">
      <c r="A4" s="5" t="s">
        <v>38</v>
      </c>
      <c r="B4" s="5" t="s">
        <v>127</v>
      </c>
      <c r="C4" s="5" t="s">
        <v>128</v>
      </c>
      <c r="D4" s="5" t="s">
        <v>129</v>
      </c>
      <c r="E4" s="10"/>
      <c r="F4" s="5" t="s">
        <v>122</v>
      </c>
      <c r="G4" s="5"/>
    </row>
    <row r="5" customFormat="false" ht="15" hidden="false" customHeight="false" outlineLevel="0" collapsed="false">
      <c r="A5" s="5" t="s">
        <v>48</v>
      </c>
      <c r="B5" s="5" t="s">
        <v>130</v>
      </c>
      <c r="C5" s="5" t="s">
        <v>131</v>
      </c>
      <c r="D5" s="5" t="s">
        <v>129</v>
      </c>
      <c r="E5" s="10"/>
      <c r="F5" s="5" t="s">
        <v>132</v>
      </c>
      <c r="G5" s="5"/>
    </row>
    <row r="6" customFormat="false" ht="15" hidden="false" customHeight="false" outlineLevel="0" collapsed="false">
      <c r="A6" s="5" t="s">
        <v>48</v>
      </c>
      <c r="B6" s="5" t="s">
        <v>133</v>
      </c>
      <c r="C6" s="5" t="s">
        <v>131</v>
      </c>
      <c r="D6" s="5" t="s">
        <v>129</v>
      </c>
      <c r="E6" s="10"/>
      <c r="F6" s="5" t="s">
        <v>132</v>
      </c>
      <c r="G6" s="5"/>
    </row>
    <row r="7" customFormat="false" ht="15" hidden="false" customHeight="false" outlineLevel="0" collapsed="false">
      <c r="A7" s="5" t="s">
        <v>54</v>
      </c>
      <c r="B7" s="5" t="s">
        <v>134</v>
      </c>
      <c r="C7" s="5" t="s">
        <v>135</v>
      </c>
      <c r="D7" s="5" t="s">
        <v>125</v>
      </c>
      <c r="E7" s="10"/>
      <c r="F7" s="5" t="s">
        <v>136</v>
      </c>
      <c r="G7" s="5"/>
    </row>
    <row r="8" customFormat="false" ht="15" hidden="false" customHeight="false" outlineLevel="0" collapsed="false">
      <c r="A8" s="5" t="s">
        <v>54</v>
      </c>
      <c r="B8" s="5" t="s">
        <v>137</v>
      </c>
      <c r="C8" s="5" t="s">
        <v>135</v>
      </c>
      <c r="D8" s="5" t="s">
        <v>125</v>
      </c>
      <c r="E8" s="10"/>
      <c r="F8" s="5" t="s">
        <v>136</v>
      </c>
      <c r="G8" s="5"/>
    </row>
    <row r="9" customFormat="false" ht="23.85" hidden="false" customHeight="false" outlineLevel="0" collapsed="false">
      <c r="A9" s="5" t="s">
        <v>54</v>
      </c>
      <c r="B9" s="5" t="s">
        <v>138</v>
      </c>
      <c r="C9" s="5" t="s">
        <v>139</v>
      </c>
      <c r="D9" s="5" t="s">
        <v>125</v>
      </c>
      <c r="E9" s="10"/>
      <c r="F9" s="5" t="s">
        <v>126</v>
      </c>
      <c r="G9" s="5"/>
    </row>
    <row r="10" customFormat="false" ht="15" hidden="false" customHeight="false" outlineLevel="0" collapsed="false">
      <c r="A10" s="5" t="s">
        <v>54</v>
      </c>
      <c r="B10" s="5" t="s">
        <v>140</v>
      </c>
      <c r="C10" s="5" t="s">
        <v>141</v>
      </c>
      <c r="D10" s="5" t="s">
        <v>142</v>
      </c>
      <c r="E10" s="10"/>
      <c r="F10" s="5" t="s">
        <v>136</v>
      </c>
      <c r="G10" s="5"/>
    </row>
    <row r="11" customFormat="false" ht="15" hidden="false" customHeight="false" outlineLevel="0" collapsed="false">
      <c r="A11" s="5" t="s">
        <v>63</v>
      </c>
      <c r="B11" s="5" t="s">
        <v>143</v>
      </c>
      <c r="C11" s="5" t="s">
        <v>144</v>
      </c>
      <c r="D11" s="5" t="s">
        <v>129</v>
      </c>
      <c r="E11" s="10"/>
      <c r="F11" s="5" t="s">
        <v>145</v>
      </c>
      <c r="G11" s="5"/>
    </row>
    <row r="12" customFormat="false" ht="15" hidden="false" customHeight="false" outlineLevel="0" collapsed="false">
      <c r="A12" s="5" t="s">
        <v>70</v>
      </c>
      <c r="B12" s="5" t="s">
        <v>146</v>
      </c>
      <c r="C12" s="5" t="s">
        <v>147</v>
      </c>
      <c r="D12" s="5" t="s">
        <v>129</v>
      </c>
      <c r="E12" s="10"/>
      <c r="F12" s="5" t="s">
        <v>148</v>
      </c>
      <c r="G12" s="5"/>
    </row>
    <row r="13" customFormat="false" ht="15" hidden="false" customHeight="false" outlineLevel="0" collapsed="false">
      <c r="A13" s="5" t="s">
        <v>77</v>
      </c>
      <c r="B13" s="5" t="s">
        <v>149</v>
      </c>
      <c r="C13" s="5" t="s">
        <v>150</v>
      </c>
      <c r="D13" s="5" t="s">
        <v>129</v>
      </c>
      <c r="E13" s="10"/>
      <c r="F13" s="5" t="s">
        <v>151</v>
      </c>
      <c r="G13" s="5"/>
    </row>
    <row r="14" customFormat="false" ht="15" hidden="false" customHeight="false" outlineLevel="0" collapsed="false">
      <c r="A14" s="5" t="s">
        <v>77</v>
      </c>
      <c r="B14" s="5" t="s">
        <v>152</v>
      </c>
      <c r="C14" s="5" t="s">
        <v>153</v>
      </c>
      <c r="D14" s="5" t="s">
        <v>154</v>
      </c>
      <c r="E14" s="10"/>
      <c r="F14" s="5" t="s">
        <v>155</v>
      </c>
      <c r="G14" s="5"/>
    </row>
    <row r="15" customFormat="false" ht="23.85" hidden="false" customHeight="false" outlineLevel="0" collapsed="false">
      <c r="A15" s="5" t="s">
        <v>84</v>
      </c>
      <c r="B15" s="5" t="s">
        <v>156</v>
      </c>
      <c r="C15" s="5" t="s">
        <v>157</v>
      </c>
      <c r="D15" s="5" t="s">
        <v>158</v>
      </c>
      <c r="E15" s="10"/>
      <c r="F15" s="5" t="s">
        <v>159</v>
      </c>
      <c r="G15" s="5"/>
    </row>
    <row r="16" customFormat="false" ht="23.85" hidden="false" customHeight="false" outlineLevel="0" collapsed="false">
      <c r="A16" s="5" t="s">
        <v>93</v>
      </c>
      <c r="B16" s="5" t="s">
        <v>160</v>
      </c>
      <c r="C16" s="5" t="s">
        <v>161</v>
      </c>
      <c r="D16" s="5" t="s">
        <v>129</v>
      </c>
      <c r="E16" s="10"/>
      <c r="F16" s="5" t="s">
        <v>148</v>
      </c>
      <c r="G16" s="5"/>
    </row>
    <row r="17" customFormat="false" ht="15" hidden="false" customHeight="false" outlineLevel="0" collapsed="false">
      <c r="A17" s="5" t="s">
        <v>93</v>
      </c>
      <c r="B17" s="5" t="s">
        <v>162</v>
      </c>
      <c r="C17" s="5" t="s">
        <v>163</v>
      </c>
      <c r="D17" s="5" t="s">
        <v>164</v>
      </c>
      <c r="E17" s="10"/>
      <c r="F17" s="5" t="s">
        <v>165</v>
      </c>
      <c r="G17" s="5"/>
    </row>
    <row r="18" customFormat="false" ht="35.05" hidden="false" customHeight="false" outlineLevel="0" collapsed="false">
      <c r="A18" s="5" t="s">
        <v>102</v>
      </c>
      <c r="B18" s="5" t="s">
        <v>166</v>
      </c>
      <c r="C18" s="5" t="s">
        <v>167</v>
      </c>
      <c r="D18" s="5" t="s">
        <v>168</v>
      </c>
      <c r="E18" s="10"/>
      <c r="F18" s="5" t="s">
        <v>169</v>
      </c>
      <c r="G18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2026-09-26T10:17:56Z</dcterms:created>
  <dc:creator>openpyxl</dc:creator>
  <dc:description/>
  <dc:language>en-US</dc:language>
  <cp:lastModifiedBy/>
  <dcterms:modified xsi:type="dcterms:W3CDTF">2026-09-26T10:17:56Z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